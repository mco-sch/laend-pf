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Umweltmanagement\Projekte\H2Chemie2050\03_Arbeitspakete\AP3 Techno-ökonomische Systemanalyse\004 Modellierung\laend-pf_v1\in\"/>
    </mc:Choice>
  </mc:AlternateContent>
  <xr:revisionPtr revIDLastSave="0" documentId="13_ncr:1_{A92AE2B1-4917-4A76-A9FE-83F219606F4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eighting" sheetId="1" r:id="rId1"/>
    <sheet name="Normalisation" sheetId="2" r:id="rId2"/>
    <sheet name="Normalisation_p_person" sheetId="3" r:id="rId3"/>
    <sheet name="Equilibri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4" l="1"/>
  <c r="B26" i="4"/>
  <c r="B25" i="4"/>
  <c r="D25" i="4" s="1"/>
  <c r="D24" i="4"/>
  <c r="B24" i="4"/>
  <c r="D23" i="4"/>
  <c r="B23" i="4"/>
  <c r="B22" i="4"/>
  <c r="D22" i="4" s="1"/>
  <c r="B21" i="4"/>
  <c r="D21" i="4" s="1"/>
  <c r="D20" i="4"/>
  <c r="B20" i="4"/>
  <c r="B19" i="4"/>
  <c r="D19" i="4" s="1"/>
  <c r="D18" i="4"/>
  <c r="B18" i="4"/>
  <c r="D18" i="1"/>
  <c r="D19" i="1"/>
  <c r="D20" i="1"/>
  <c r="D21" i="1"/>
  <c r="D22" i="1"/>
  <c r="D23" i="1"/>
  <c r="D24" i="1"/>
  <c r="D25" i="1"/>
  <c r="D26" i="1"/>
  <c r="D8" i="4"/>
  <c r="D9" i="4"/>
  <c r="D15" i="4"/>
  <c r="D16" i="4"/>
  <c r="D17" i="4"/>
  <c r="B17" i="4"/>
  <c r="B16" i="4"/>
  <c r="B15" i="4"/>
  <c r="B14" i="4"/>
  <c r="D14" i="4" s="1"/>
  <c r="B13" i="4"/>
  <c r="D13" i="4" s="1"/>
  <c r="B12" i="4"/>
  <c r="D12" i="4" s="1"/>
  <c r="B11" i="4"/>
  <c r="D11" i="4" s="1"/>
  <c r="B10" i="4"/>
  <c r="D10" i="4" s="1"/>
  <c r="B9" i="4"/>
  <c r="B8" i="4"/>
  <c r="B7" i="4"/>
  <c r="D7" i="4" s="1"/>
  <c r="B6" i="4"/>
  <c r="D6" i="4" s="1"/>
  <c r="B5" i="4"/>
  <c r="D5" i="4" s="1"/>
  <c r="B4" i="4"/>
  <c r="D4" i="4" s="1"/>
  <c r="B3" i="4"/>
  <c r="D3" i="4" s="1"/>
  <c r="B2" i="4"/>
  <c r="D2" i="4" s="1"/>
  <c r="D27" i="4" l="1"/>
  <c r="E23" i="4" l="1"/>
  <c r="E20" i="4"/>
  <c r="E26" i="4"/>
  <c r="E25" i="4"/>
  <c r="E24" i="4"/>
  <c r="E19" i="4"/>
  <c r="E13" i="4"/>
  <c r="D13" i="1" s="1"/>
  <c r="E14" i="4"/>
  <c r="D14" i="1" s="1"/>
  <c r="E18" i="4"/>
  <c r="E21" i="4"/>
  <c r="E16" i="4"/>
  <c r="D16" i="1" s="1"/>
  <c r="E22" i="4"/>
  <c r="E4" i="4"/>
  <c r="D4" i="1" s="1"/>
  <c r="E7" i="4"/>
  <c r="D7" i="1" s="1"/>
  <c r="E6" i="4"/>
  <c r="D6" i="1" s="1"/>
  <c r="E5" i="4"/>
  <c r="D5" i="1" s="1"/>
  <c r="E8" i="4"/>
  <c r="D8" i="1" s="1"/>
  <c r="E12" i="4"/>
  <c r="D12" i="1" s="1"/>
  <c r="E11" i="4"/>
  <c r="D11" i="1" s="1"/>
  <c r="E3" i="4"/>
  <c r="D3" i="1" s="1"/>
  <c r="E9" i="4"/>
  <c r="D9" i="1" s="1"/>
  <c r="E17" i="4"/>
  <c r="D17" i="1" s="1"/>
  <c r="E10" i="4"/>
  <c r="D10" i="1" s="1"/>
  <c r="E2" i="4"/>
  <c r="E15" i="4"/>
  <c r="D15" i="1" s="1"/>
  <c r="D2" i="1" l="1"/>
  <c r="E27" i="4"/>
</calcChain>
</file>

<file path=xl/sharedStrings.xml><?xml version="1.0" encoding="utf-8"?>
<sst xmlns="http://schemas.openxmlformats.org/spreadsheetml/2006/main" count="119" uniqueCount="33">
  <si>
    <t>Indicator</t>
  </si>
  <si>
    <t>JRCII</t>
  </si>
  <si>
    <t>EnvCosts</t>
  </si>
  <si>
    <t>Equilibrium</t>
  </si>
  <si>
    <t>WFs (excluding robustness)</t>
  </si>
  <si>
    <t>Robustness</t>
  </si>
  <si>
    <t>equal weighting incl. Robustness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</si>
  <si>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</si>
  <si>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</si>
  <si>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</si>
  <si>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</si>
  <si>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</si>
  <si>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</si>
  <si>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</si>
  <si>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</si>
  <si>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</si>
  <si>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</si>
  <si>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</si>
  <si>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</si>
  <si>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</si>
  <si>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</si>
  <si>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</si>
  <si>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</si>
  <si>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</si>
  <si>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</si>
  <si>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</si>
  <si>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</si>
  <si>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</si>
  <si>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</si>
  <si>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</si>
  <si>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</si>
  <si>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</si>
  <si>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values are completely wrong - correction needed!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</si>
</sst>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2">
    <cellStyle name="Normal 2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70" zoomScaleNormal="70" workbookViewId="0">
      <pane xSplit="1" topLeftCell="B1" activePane="topRight" state="frozen"/>
      <selection pane="topRight" activeCell="F15" sqref="E15:F15"/>
    </sheetView>
  </sheetViews>
  <sheetFormatPr baseColWidth="10" defaultColWidth="9.109375" defaultRowHeight="14.4" x14ac:dyDescent="0.3"/>
  <cols>
    <col min="1" max="1" width="44.21875" bestFit="1" customWidth="1"/>
    <col min="2" max="3" width="10.6640625" customWidth="1"/>
    <col min="4" max="4" width="10.44140625" customWidth="1"/>
    <col min="5" max="21" width="10.6640625" customWidth="1"/>
    <col min="25" max="25" width="11.6640625" customWidth="1"/>
    <col min="26" max="1024" width="10.664062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t="s">
        <v>7</v>
      </c>
      <c r="B2" s="2">
        <v>0.21060000000000001</v>
      </c>
      <c r="C2" s="2">
        <v>0.21060000000000001</v>
      </c>
      <c r="D2" s="2">
        <f>VLOOKUP(A2,Equilibrium!$A$2:$E$17,5,FALSE)</f>
        <v>6.9488817891373816E-2</v>
      </c>
    </row>
    <row r="3" spans="1:6" x14ac:dyDescent="0.3">
      <c r="A3" t="s">
        <v>8</v>
      </c>
      <c r="B3" s="2">
        <v>6.2E-2</v>
      </c>
      <c r="C3" s="2">
        <v>6.2E-2</v>
      </c>
      <c r="D3" s="2">
        <f>VLOOKUP(A3,Equilibrium!$A$2:$E$17,5,FALSE)</f>
        <v>5.3514376996805127E-2</v>
      </c>
    </row>
    <row r="4" spans="1:6" x14ac:dyDescent="0.3">
      <c r="A4" t="s">
        <v>9</v>
      </c>
      <c r="B4" s="2">
        <v>1.9199999999999998E-2</v>
      </c>
      <c r="C4" s="2">
        <v>1.9199999999999998E-2</v>
      </c>
      <c r="D4" s="2">
        <f>VLOOKUP(A4,Equilibrium!$A$2:$E$17,5,FALSE)</f>
        <v>1.3578274760383389E-2</v>
      </c>
      <c r="F4" s="2" t="s">
        <v>32</v>
      </c>
    </row>
    <row r="5" spans="1:6" x14ac:dyDescent="0.3">
      <c r="A5" t="s">
        <v>10</v>
      </c>
      <c r="B5" s="2">
        <v>2.8000000000000001E-2</v>
      </c>
      <c r="C5" s="2">
        <v>2.8000000000000001E-2</v>
      </c>
      <c r="D5" s="2">
        <f>VLOOKUP(A5,Equilibrium!$A$2:$E$17,5,FALSE)</f>
        <v>3.7539936102236424E-2</v>
      </c>
    </row>
    <row r="6" spans="1:6" x14ac:dyDescent="0.3">
      <c r="A6" t="s">
        <v>11</v>
      </c>
      <c r="B6" s="2">
        <v>2.9600000000000001E-2</v>
      </c>
      <c r="C6" s="2">
        <v>2.9600000000000001E-2</v>
      </c>
      <c r="D6" s="2">
        <f>VLOOKUP(A6,Equilibrium!$A$2:$E$17,5,FALSE)</f>
        <v>4.2332268370607037E-2</v>
      </c>
    </row>
    <row r="7" spans="1:6" x14ac:dyDescent="0.3">
      <c r="A7" t="s">
        <v>12</v>
      </c>
      <c r="B7" s="2">
        <v>3.7100000000000001E-2</v>
      </c>
      <c r="C7" s="2">
        <v>3.7100000000000001E-2</v>
      </c>
      <c r="D7" s="2">
        <f>VLOOKUP(A7,Equilibrium!$A$2:$E$17,5,FALSE)</f>
        <v>5.3514376996805127E-2</v>
      </c>
    </row>
    <row r="8" spans="1:6" x14ac:dyDescent="0.3">
      <c r="A8" t="s">
        <v>13</v>
      </c>
      <c r="B8" s="2">
        <v>2.1299999999999999E-2</v>
      </c>
      <c r="C8" s="2">
        <v>2.1299999999999999E-2</v>
      </c>
      <c r="D8" s="2">
        <f>VLOOKUP(A8,Equilibrium!$A$2:$E$17,5,FALSE)</f>
        <v>1.3578274760383389E-2</v>
      </c>
    </row>
    <row r="9" spans="1:6" x14ac:dyDescent="0.3">
      <c r="A9" t="s">
        <v>14</v>
      </c>
      <c r="B9" s="2">
        <v>5.0099999999999999E-2</v>
      </c>
      <c r="C9" s="2">
        <v>5.0099999999999999E-2</v>
      </c>
      <c r="D9" s="2">
        <f>VLOOKUP(A9,Equilibrium!$A$2:$E$17,5,FALSE)</f>
        <v>3.7539936102236424E-2</v>
      </c>
    </row>
    <row r="10" spans="1:6" x14ac:dyDescent="0.3">
      <c r="A10" t="s">
        <v>15</v>
      </c>
      <c r="B10" s="2">
        <v>1.84E-2</v>
      </c>
      <c r="C10" s="2">
        <v>1.84E-2</v>
      </c>
      <c r="D10" s="2">
        <f>VLOOKUP(A10,Equilibrium!$A$2:$E$17,5,FALSE)</f>
        <v>1.3578274760383389E-2</v>
      </c>
    </row>
    <row r="11" spans="1:6" x14ac:dyDescent="0.3">
      <c r="A11" t="s">
        <v>16</v>
      </c>
      <c r="B11" s="2">
        <v>6.3100000000000003E-2</v>
      </c>
      <c r="C11" s="2">
        <v>6.3100000000000003E-2</v>
      </c>
      <c r="D11" s="2">
        <f>VLOOKUP(A11,Equilibrium!$A$2:$E$17,5,FALSE)</f>
        <v>4.7923322683706075E-2</v>
      </c>
    </row>
    <row r="12" spans="1:6" x14ac:dyDescent="0.3">
      <c r="A12" t="s">
        <v>17</v>
      </c>
      <c r="B12" s="2">
        <v>4.7800000000000002E-2</v>
      </c>
      <c r="C12" s="2">
        <v>4.7800000000000002E-2</v>
      </c>
      <c r="D12" s="2">
        <f>VLOOKUP(A12,Equilibrium!$A$2:$E$17,5,FALSE)</f>
        <v>4.2332268370607037E-2</v>
      </c>
    </row>
    <row r="13" spans="1:6" x14ac:dyDescent="0.3">
      <c r="A13" t="s">
        <v>18</v>
      </c>
      <c r="B13" s="2">
        <v>8.9599999999999999E-2</v>
      </c>
      <c r="C13" s="2">
        <v>8.9599999999999999E-2</v>
      </c>
      <c r="D13" s="2">
        <f>VLOOKUP(A13,Equilibrium!$A$2:$E$17,5,FALSE)</f>
        <v>6.9488817891373816E-2</v>
      </c>
    </row>
    <row r="14" spans="1:6" x14ac:dyDescent="0.3">
      <c r="A14" t="s">
        <v>19</v>
      </c>
      <c r="B14" s="2">
        <v>8.5099999999999995E-2</v>
      </c>
      <c r="C14" s="2">
        <v>8.5099999999999995E-2</v>
      </c>
      <c r="D14" s="2">
        <f>VLOOKUP(A14,Equilibrium!$A$2:$E$17,5,FALSE)</f>
        <v>3.7539936102236424E-2</v>
      </c>
    </row>
    <row r="15" spans="1:6" x14ac:dyDescent="0.3">
      <c r="A15" t="s">
        <v>20</v>
      </c>
      <c r="B15" s="2">
        <v>8.3199999999999996E-2</v>
      </c>
      <c r="C15" s="2">
        <v>8.3199999999999996E-2</v>
      </c>
      <c r="D15" s="2">
        <f>VLOOKUP(A15,Equilibrium!$A$2:$E$17,5,FALSE)</f>
        <v>4.7923322683706075E-2</v>
      </c>
    </row>
    <row r="16" spans="1:6" x14ac:dyDescent="0.3">
      <c r="A16" t="s">
        <v>21</v>
      </c>
      <c r="B16" s="2">
        <v>7.9399999999999998E-2</v>
      </c>
      <c r="C16" s="2">
        <v>7.9399999999999998E-2</v>
      </c>
      <c r="D16" s="2">
        <f>VLOOKUP(A16,Equilibrium!$A$2:$E$17,5,FALSE)</f>
        <v>3.7539936102236424E-2</v>
      </c>
    </row>
    <row r="17" spans="1:4" x14ac:dyDescent="0.3">
      <c r="A17" t="s">
        <v>22</v>
      </c>
      <c r="B17" s="2">
        <v>7.5499999999999998E-2</v>
      </c>
      <c r="C17" s="2">
        <v>7.5499999999999998E-2</v>
      </c>
      <c r="D17" s="2">
        <f>VLOOKUP(A17,Equilibrium!$A$2:$E$17,5,FALSE)</f>
        <v>4.7923322683706075E-2</v>
      </c>
    </row>
    <row r="18" spans="1:4" x14ac:dyDescent="0.3">
      <c r="A18" t="s">
        <v>23</v>
      </c>
      <c r="B18" s="2">
        <v>0.21060000000000001</v>
      </c>
      <c r="C18" s="2">
        <v>0.21060000000000001</v>
      </c>
      <c r="D18" s="2" t="e">
        <f>VLOOKUP(A18,Equilibrium!$A$2:$E$17,5,FALSE)</f>
        <v>#N/A</v>
      </c>
    </row>
    <row r="19" spans="1:4" x14ac:dyDescent="0.3">
      <c r="A19" t="s">
        <v>24</v>
      </c>
      <c r="B19" s="2">
        <v>6.2E-2</v>
      </c>
      <c r="C19" s="2">
        <v>6.2E-2</v>
      </c>
      <c r="D19" s="2" t="e">
        <f>VLOOKUP(A19,Equilibrium!$A$2:$E$17,5,FALSE)</f>
        <v>#N/A</v>
      </c>
    </row>
    <row r="20" spans="1:4" x14ac:dyDescent="0.3">
      <c r="A20" t="s">
        <v>25</v>
      </c>
      <c r="B20" s="2">
        <v>1.9199999999999998E-2</v>
      </c>
      <c r="C20" s="2">
        <v>1.9199999999999998E-2</v>
      </c>
      <c r="D20" s="2" t="e">
        <f>VLOOKUP(A20,Equilibrium!$A$2:$E$17,5,FALSE)</f>
        <v>#N/A</v>
      </c>
    </row>
    <row r="21" spans="1:4" x14ac:dyDescent="0.3">
      <c r="A21" t="s">
        <v>26</v>
      </c>
      <c r="B21" s="2">
        <v>2.8000000000000001E-2</v>
      </c>
      <c r="C21" s="2">
        <v>2.8000000000000001E-2</v>
      </c>
      <c r="D21" s="2" t="e">
        <f>VLOOKUP(A21,Equilibrium!$A$2:$E$17,5,FALSE)</f>
        <v>#N/A</v>
      </c>
    </row>
    <row r="22" spans="1:4" x14ac:dyDescent="0.3">
      <c r="A22" t="s">
        <v>27</v>
      </c>
      <c r="B22" s="2">
        <v>2.9600000000000001E-2</v>
      </c>
      <c r="C22" s="2">
        <v>2.9600000000000001E-2</v>
      </c>
      <c r="D22" s="2" t="e">
        <f>VLOOKUP(A22,Equilibrium!$A$2:$E$17,5,FALSE)</f>
        <v>#N/A</v>
      </c>
    </row>
    <row r="23" spans="1:4" x14ac:dyDescent="0.3">
      <c r="A23" t="s">
        <v>28</v>
      </c>
      <c r="B23" s="2">
        <v>3.7100000000000001E-2</v>
      </c>
      <c r="C23" s="2">
        <v>3.7100000000000001E-2</v>
      </c>
      <c r="D23" s="2" t="e">
        <f>VLOOKUP(A23,Equilibrium!$A$2:$E$17,5,FALSE)</f>
        <v>#N/A</v>
      </c>
    </row>
    <row r="24" spans="1:4" x14ac:dyDescent="0.3">
      <c r="A24" t="s">
        <v>29</v>
      </c>
      <c r="B24" s="2">
        <v>2.1299999999999999E-2</v>
      </c>
      <c r="C24" s="2">
        <v>2.1299999999999999E-2</v>
      </c>
      <c r="D24" s="2" t="e">
        <f>VLOOKUP(A24,Equilibrium!$A$2:$E$17,5,FALSE)</f>
        <v>#N/A</v>
      </c>
    </row>
    <row r="25" spans="1:4" x14ac:dyDescent="0.3">
      <c r="A25" t="s">
        <v>30</v>
      </c>
      <c r="B25" s="2">
        <v>5.0099999999999999E-2</v>
      </c>
      <c r="C25" s="2">
        <v>5.0099999999999999E-2</v>
      </c>
      <c r="D25" s="2" t="e">
        <f>VLOOKUP(A25,Equilibrium!$A$2:$E$17,5,FALSE)</f>
        <v>#N/A</v>
      </c>
    </row>
    <row r="26" spans="1:4" x14ac:dyDescent="0.3">
      <c r="A26" t="s">
        <v>31</v>
      </c>
      <c r="B26" s="2">
        <v>1.84E-2</v>
      </c>
      <c r="C26" s="2">
        <v>1.84E-2</v>
      </c>
      <c r="D26" s="2" t="e">
        <f>VLOOKUP(A26,Equilibrium!$A$2:$E$17,5,FALSE)</f>
        <v>#N/A</v>
      </c>
    </row>
    <row r="27" spans="1:4" x14ac:dyDescent="0.3">
      <c r="B27" s="2"/>
      <c r="C27" s="2"/>
      <c r="D27" s="2"/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zoomScale="60" zoomScaleNormal="60" workbookViewId="0">
      <pane xSplit="1" topLeftCell="B1" activePane="topRight" state="frozen"/>
      <selection pane="topRight" activeCell="F4" sqref="F4"/>
    </sheetView>
  </sheetViews>
  <sheetFormatPr baseColWidth="10" defaultColWidth="9.109375" defaultRowHeight="14.4" x14ac:dyDescent="0.3"/>
  <cols>
    <col min="1" max="1" width="56.44140625" bestFit="1" customWidth="1"/>
    <col min="2" max="4" width="10.6640625" customWidth="1"/>
    <col min="5" max="5" width="11.33203125" customWidth="1"/>
    <col min="6" max="1004" width="10.664062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t="s">
        <v>7</v>
      </c>
      <c r="B2" s="2">
        <v>53499807644454.797</v>
      </c>
      <c r="C2" s="2">
        <v>53499807644454.797</v>
      </c>
      <c r="D2" s="2">
        <v>53499807644454.797</v>
      </c>
    </row>
    <row r="3" spans="1:6" x14ac:dyDescent="0.3">
      <c r="A3" t="s">
        <v>8</v>
      </c>
      <c r="B3" s="2">
        <v>383000000000</v>
      </c>
      <c r="C3" s="2">
        <v>383000000000</v>
      </c>
      <c r="D3" s="2">
        <v>383000000000</v>
      </c>
    </row>
    <row r="4" spans="1:6" x14ac:dyDescent="0.3">
      <c r="A4" t="s">
        <v>9</v>
      </c>
      <c r="B4" s="2">
        <v>81469333333333.297</v>
      </c>
      <c r="C4" s="2">
        <v>81469333333333.297</v>
      </c>
      <c r="D4" s="2">
        <v>81469333333333.297</v>
      </c>
      <c r="F4" s="2" t="s">
        <v>32</v>
      </c>
    </row>
    <row r="5" spans="1:6" x14ac:dyDescent="0.3">
      <c r="A5" t="s">
        <v>10</v>
      </c>
      <c r="B5" s="2">
        <v>17600000000</v>
      </c>
      <c r="C5" s="2">
        <v>17600000000</v>
      </c>
      <c r="D5" s="2">
        <v>17600000000</v>
      </c>
    </row>
    <row r="6" spans="1:6" x14ac:dyDescent="0.3">
      <c r="A6" t="s">
        <v>11</v>
      </c>
      <c r="B6" s="2">
        <v>195000000000</v>
      </c>
      <c r="C6" s="2">
        <v>195000000000</v>
      </c>
      <c r="D6" s="2">
        <v>195000000000</v>
      </c>
    </row>
    <row r="7" spans="1:6" x14ac:dyDescent="0.3">
      <c r="A7" t="s">
        <v>12</v>
      </c>
      <c r="B7" s="2">
        <v>1220000000000</v>
      </c>
      <c r="C7" s="2">
        <v>1220000000000</v>
      </c>
      <c r="D7" s="2">
        <v>1220000000000</v>
      </c>
    </row>
    <row r="8" spans="1:6" x14ac:dyDescent="0.3">
      <c r="A8" t="s">
        <v>13</v>
      </c>
      <c r="B8" s="2">
        <v>265544.36450839299</v>
      </c>
      <c r="C8" s="2">
        <v>265544.36450839299</v>
      </c>
      <c r="D8" s="2">
        <v>265544.36450839299</v>
      </c>
    </row>
    <row r="9" spans="1:6" x14ac:dyDescent="0.3">
      <c r="A9" t="s">
        <v>14</v>
      </c>
      <c r="B9" s="2">
        <v>29101753705457.102</v>
      </c>
      <c r="C9" s="2">
        <v>29101753705457.102</v>
      </c>
      <c r="D9" s="2">
        <v>29101753705457.102</v>
      </c>
    </row>
    <row r="10" spans="1:6" x14ac:dyDescent="0.3">
      <c r="A10" t="s">
        <v>15</v>
      </c>
      <c r="B10" s="2">
        <v>3274782.60869565</v>
      </c>
      <c r="C10" s="2">
        <v>3274782.60869565</v>
      </c>
      <c r="D10" s="2">
        <v>3274782.60869565</v>
      </c>
    </row>
    <row r="11" spans="1:6" x14ac:dyDescent="0.3">
      <c r="A11" t="s">
        <v>16</v>
      </c>
      <c r="B11" s="2">
        <v>161052494.61533201</v>
      </c>
      <c r="C11" s="2">
        <v>161052494.61533201</v>
      </c>
      <c r="D11" s="2">
        <v>161052494.61533201</v>
      </c>
    </row>
    <row r="12" spans="1:6" x14ac:dyDescent="0.3">
      <c r="A12" t="s">
        <v>17</v>
      </c>
      <c r="B12" s="2">
        <v>280000000000</v>
      </c>
      <c r="C12" s="2">
        <v>280000000000</v>
      </c>
      <c r="D12" s="2">
        <v>280000000000</v>
      </c>
    </row>
    <row r="13" spans="1:6" x14ac:dyDescent="0.3">
      <c r="A13" t="s">
        <v>18</v>
      </c>
      <c r="B13" s="2">
        <v>4390385.0282015996</v>
      </c>
      <c r="C13" s="2">
        <v>4390385.0282015996</v>
      </c>
      <c r="D13" s="2">
        <v>4390385.0282015996</v>
      </c>
    </row>
    <row r="14" spans="1:6" x14ac:dyDescent="0.3">
      <c r="A14" t="s">
        <v>19</v>
      </c>
      <c r="B14" s="2">
        <v>79086941966456.594</v>
      </c>
      <c r="C14" s="2">
        <v>79086941966456.594</v>
      </c>
      <c r="D14" s="2">
        <v>79086941966456.594</v>
      </c>
    </row>
    <row r="15" spans="1:6" x14ac:dyDescent="0.3">
      <c r="A15" t="s">
        <v>20</v>
      </c>
      <c r="B15" s="2">
        <v>450000000000000</v>
      </c>
      <c r="C15" s="2">
        <v>450000000000000</v>
      </c>
      <c r="D15" s="2">
        <v>450000000000000</v>
      </c>
    </row>
    <row r="16" spans="1:6" x14ac:dyDescent="0.3">
      <c r="A16" t="s">
        <v>21</v>
      </c>
      <c r="B16" s="2">
        <v>9202293796307390</v>
      </c>
      <c r="C16" s="2">
        <v>9202293796307390</v>
      </c>
      <c r="D16" s="2">
        <v>9202293796307390</v>
      </c>
    </row>
    <row r="17" spans="1:4" x14ac:dyDescent="0.3">
      <c r="A17" t="s">
        <v>22</v>
      </c>
      <c r="B17" s="2">
        <v>399000000</v>
      </c>
      <c r="C17" s="2">
        <v>399000000</v>
      </c>
      <c r="D17" s="2">
        <v>399000000</v>
      </c>
    </row>
    <row r="18" spans="1:4" x14ac:dyDescent="0.3">
      <c r="A18" t="s">
        <v>23</v>
      </c>
      <c r="B18" s="2">
        <v>53499807644454.797</v>
      </c>
      <c r="C18" s="2">
        <v>53499807644454.797</v>
      </c>
      <c r="D18" s="2">
        <v>53499807644454.797</v>
      </c>
    </row>
    <row r="19" spans="1:4" x14ac:dyDescent="0.3">
      <c r="A19" t="s">
        <v>24</v>
      </c>
      <c r="B19" s="2">
        <v>383000000000</v>
      </c>
      <c r="C19" s="2">
        <v>383000000000</v>
      </c>
      <c r="D19" s="2">
        <v>383000000000</v>
      </c>
    </row>
    <row r="20" spans="1:4" x14ac:dyDescent="0.3">
      <c r="A20" t="s">
        <v>25</v>
      </c>
      <c r="B20" s="2">
        <v>81469333333333.297</v>
      </c>
      <c r="C20" s="2">
        <v>81469333333333.297</v>
      </c>
      <c r="D20" s="2">
        <v>81469333333333.297</v>
      </c>
    </row>
    <row r="21" spans="1:4" x14ac:dyDescent="0.3">
      <c r="A21" t="s">
        <v>26</v>
      </c>
      <c r="B21" s="2">
        <v>17600000000</v>
      </c>
      <c r="C21" s="2">
        <v>17600000000</v>
      </c>
      <c r="D21" s="2">
        <v>17600000000</v>
      </c>
    </row>
    <row r="22" spans="1:4" x14ac:dyDescent="0.3">
      <c r="A22" t="s">
        <v>27</v>
      </c>
      <c r="B22" s="2">
        <v>195000000000</v>
      </c>
      <c r="C22" s="2">
        <v>195000000000</v>
      </c>
      <c r="D22" s="2">
        <v>195000000000</v>
      </c>
    </row>
    <row r="23" spans="1:4" x14ac:dyDescent="0.3">
      <c r="A23" t="s">
        <v>28</v>
      </c>
      <c r="B23" s="2">
        <v>1220000000000</v>
      </c>
      <c r="C23" s="2">
        <v>1220000000000</v>
      </c>
      <c r="D23" s="2">
        <v>1220000000000</v>
      </c>
    </row>
    <row r="24" spans="1:4" x14ac:dyDescent="0.3">
      <c r="A24" t="s">
        <v>29</v>
      </c>
      <c r="B24" s="2">
        <v>265544.36450839299</v>
      </c>
      <c r="C24" s="2">
        <v>265544.36450839299</v>
      </c>
      <c r="D24" s="2">
        <v>265544.36450839299</v>
      </c>
    </row>
    <row r="25" spans="1:4" x14ac:dyDescent="0.3">
      <c r="A25" t="s">
        <v>30</v>
      </c>
      <c r="B25" s="2">
        <v>29101753705457.102</v>
      </c>
      <c r="C25" s="2">
        <v>29101753705457.102</v>
      </c>
      <c r="D25" s="2">
        <v>29101753705457.102</v>
      </c>
    </row>
    <row r="26" spans="1:4" x14ac:dyDescent="0.3">
      <c r="A26" t="s">
        <v>31</v>
      </c>
      <c r="B26" s="2">
        <v>3274782.60869565</v>
      </c>
      <c r="C26" s="2">
        <v>3274782.60869565</v>
      </c>
      <c r="D26" s="2">
        <v>3274782.60869565</v>
      </c>
    </row>
    <row r="27" spans="1:4" x14ac:dyDescent="0.3">
      <c r="B27" s="2"/>
      <c r="C27" s="2"/>
      <c r="D27" s="2"/>
    </row>
    <row r="28" spans="1:4" x14ac:dyDescent="0.3">
      <c r="B28" s="2"/>
      <c r="C28" s="2"/>
      <c r="D28" s="2"/>
    </row>
    <row r="29" spans="1:4" x14ac:dyDescent="0.3">
      <c r="B29" s="2"/>
      <c r="C29" s="2"/>
      <c r="D29" s="2"/>
    </row>
    <row r="30" spans="1:4" x14ac:dyDescent="0.3">
      <c r="B30" s="2"/>
      <c r="C30" s="2"/>
      <c r="D30" s="2"/>
    </row>
    <row r="31" spans="1:4" x14ac:dyDescent="0.3">
      <c r="B31" s="2"/>
      <c r="C31" s="2"/>
      <c r="D31" s="2"/>
    </row>
    <row r="32" spans="1:4" x14ac:dyDescent="0.3">
      <c r="B32" s="2"/>
      <c r="C32" s="2"/>
      <c r="D32" s="2"/>
    </row>
    <row r="33" spans="2:4" x14ac:dyDescent="0.3">
      <c r="B33" s="2"/>
      <c r="C33" s="2"/>
      <c r="D33" s="2"/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zoomScale="70" zoomScaleNormal="70" workbookViewId="0">
      <pane xSplit="1" topLeftCell="B1" activePane="topRight" state="frozen"/>
      <selection pane="topRight" activeCell="F4" sqref="F4"/>
    </sheetView>
  </sheetViews>
  <sheetFormatPr baseColWidth="10" defaultColWidth="9.109375" defaultRowHeight="14.4" x14ac:dyDescent="0.3"/>
  <cols>
    <col min="1" max="1" width="56.44140625" bestFit="1" customWidth="1"/>
    <col min="2" max="4" width="10.6640625" customWidth="1"/>
    <col min="5" max="5" width="11.33203125" customWidth="1"/>
    <col min="6" max="1004" width="10.6640625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t="s">
        <v>7</v>
      </c>
      <c r="B2" s="2">
        <v>7758.2176141186264</v>
      </c>
      <c r="C2" s="2">
        <v>7758.2176141186264</v>
      </c>
      <c r="D2" s="2">
        <v>7758.2176141186264</v>
      </c>
    </row>
    <row r="3" spans="1:6" x14ac:dyDescent="0.3">
      <c r="A3" t="s">
        <v>8</v>
      </c>
      <c r="B3" s="2">
        <v>55.54033700372409</v>
      </c>
      <c r="C3" s="2">
        <v>55.54033700372409</v>
      </c>
      <c r="D3" s="2">
        <v>55.54033700372409</v>
      </c>
    </row>
    <row r="4" spans="1:6" x14ac:dyDescent="0.3">
      <c r="A4" t="s">
        <v>9</v>
      </c>
      <c r="B4" s="2">
        <v>11814.188586950559</v>
      </c>
      <c r="C4" s="2">
        <v>11814.188586950559</v>
      </c>
      <c r="D4" s="2">
        <v>11814.188586950559</v>
      </c>
      <c r="F4" s="2" t="s">
        <v>32</v>
      </c>
    </row>
    <row r="5" spans="1:6" x14ac:dyDescent="0.3">
      <c r="A5" t="s">
        <v>10</v>
      </c>
      <c r="B5" s="2">
        <v>2.5522452513460681</v>
      </c>
      <c r="C5" s="2">
        <v>2.5522452513460681</v>
      </c>
      <c r="D5" s="2">
        <v>2.5522452513460681</v>
      </c>
    </row>
    <row r="6" spans="1:6" x14ac:dyDescent="0.3">
      <c r="A6" t="s">
        <v>11</v>
      </c>
      <c r="B6" s="2">
        <v>28.277717273436547</v>
      </c>
      <c r="C6" s="2">
        <v>28.277717273436547</v>
      </c>
      <c r="D6" s="2">
        <v>28.277717273436547</v>
      </c>
    </row>
    <row r="7" spans="1:6" x14ac:dyDescent="0.3">
      <c r="A7" t="s">
        <v>12</v>
      </c>
      <c r="B7" s="2">
        <v>176.9170003773979</v>
      </c>
      <c r="C7" s="2">
        <v>176.9170003773979</v>
      </c>
      <c r="D7" s="2">
        <v>176.9170003773979</v>
      </c>
    </row>
    <row r="8" spans="1:6" x14ac:dyDescent="0.3">
      <c r="A8" t="s">
        <v>13</v>
      </c>
      <c r="B8" s="2">
        <v>3.8507633144219056E-5</v>
      </c>
      <c r="C8" s="2">
        <v>3.8507633144219056E-5</v>
      </c>
      <c r="D8" s="2">
        <v>3.8507633144219056E-5</v>
      </c>
    </row>
    <row r="9" spans="1:6" x14ac:dyDescent="0.3">
      <c r="A9" t="s">
        <v>14</v>
      </c>
      <c r="B9" s="2">
        <v>4220.1598125338478</v>
      </c>
      <c r="C9" s="2">
        <v>4220.1598125338478</v>
      </c>
      <c r="D9" s="2">
        <v>4220.1598125338478</v>
      </c>
    </row>
    <row r="10" spans="1:6" x14ac:dyDescent="0.3">
      <c r="A10" t="s">
        <v>15</v>
      </c>
      <c r="B10" s="2">
        <v>4.7488911149057734E-4</v>
      </c>
      <c r="C10" s="2">
        <v>4.7488911149057734E-4</v>
      </c>
      <c r="D10" s="2">
        <v>4.7488911149057734E-4</v>
      </c>
    </row>
    <row r="11" spans="1:6" x14ac:dyDescent="0.3">
      <c r="A11" t="s">
        <v>16</v>
      </c>
      <c r="B11" s="2">
        <v>2.3354855943148876E-2</v>
      </c>
      <c r="C11" s="2">
        <v>2.3354855943148876E-2</v>
      </c>
      <c r="D11" s="2">
        <v>2.3354855943148876E-2</v>
      </c>
    </row>
    <row r="12" spans="1:6" x14ac:dyDescent="0.3">
      <c r="A12" t="s">
        <v>17</v>
      </c>
      <c r="B12" s="2">
        <v>40.603901725960171</v>
      </c>
      <c r="C12" s="2">
        <v>40.603901725960171</v>
      </c>
      <c r="D12" s="2">
        <v>40.603901725960171</v>
      </c>
    </row>
    <row r="13" spans="1:6" x14ac:dyDescent="0.3">
      <c r="A13" t="s">
        <v>18</v>
      </c>
      <c r="B13" s="2">
        <v>6.3666700794365945E-4</v>
      </c>
      <c r="C13" s="2">
        <v>6.3666700794365945E-4</v>
      </c>
      <c r="D13" s="2">
        <v>6.3666700794365945E-4</v>
      </c>
    </row>
    <row r="14" spans="1:6" x14ac:dyDescent="0.3">
      <c r="A14" t="s">
        <v>19</v>
      </c>
      <c r="B14" s="2">
        <v>11468.708640759718</v>
      </c>
      <c r="C14" s="2">
        <v>11468.708640759718</v>
      </c>
      <c r="D14" s="2">
        <v>11468.708640759718</v>
      </c>
    </row>
    <row r="15" spans="1:6" x14ac:dyDescent="0.3">
      <c r="A15" t="s">
        <v>20</v>
      </c>
      <c r="B15" s="2">
        <v>65256.270631007421</v>
      </c>
      <c r="C15" s="2">
        <v>65256.270631007421</v>
      </c>
      <c r="D15" s="2">
        <v>65256.270631007421</v>
      </c>
    </row>
    <row r="16" spans="1:6" x14ac:dyDescent="0.3">
      <c r="A16" t="s">
        <v>21</v>
      </c>
      <c r="B16" s="2">
        <v>1334460.83199528</v>
      </c>
      <c r="C16" s="2">
        <v>1334460.83199528</v>
      </c>
      <c r="D16" s="2">
        <v>1334460.83199528</v>
      </c>
    </row>
    <row r="17" spans="1:4" x14ac:dyDescent="0.3">
      <c r="A17" t="s">
        <v>22</v>
      </c>
      <c r="B17" s="2">
        <v>5.7860559959493248E-2</v>
      </c>
      <c r="C17" s="2">
        <v>5.7860559959493248E-2</v>
      </c>
      <c r="D17" s="2">
        <v>5.7860559959493248E-2</v>
      </c>
    </row>
    <row r="18" spans="1:4" x14ac:dyDescent="0.3">
      <c r="A18" t="s">
        <v>23</v>
      </c>
      <c r="B18" s="2">
        <v>7758.2176141186264</v>
      </c>
      <c r="C18" s="2">
        <v>7758.2176141186264</v>
      </c>
      <c r="D18" s="2">
        <v>7758.2176141186264</v>
      </c>
    </row>
    <row r="19" spans="1:4" x14ac:dyDescent="0.3">
      <c r="A19" t="s">
        <v>24</v>
      </c>
      <c r="B19" s="2">
        <v>55.54033700372409</v>
      </c>
      <c r="C19" s="2">
        <v>55.54033700372409</v>
      </c>
      <c r="D19" s="2">
        <v>55.54033700372409</v>
      </c>
    </row>
    <row r="20" spans="1:4" x14ac:dyDescent="0.3">
      <c r="A20" t="s">
        <v>25</v>
      </c>
      <c r="B20" s="2">
        <v>11814.188586950559</v>
      </c>
      <c r="C20" s="2">
        <v>11814.188586950559</v>
      </c>
      <c r="D20" s="2">
        <v>11814.188586950559</v>
      </c>
    </row>
    <row r="21" spans="1:4" x14ac:dyDescent="0.3">
      <c r="A21" t="s">
        <v>26</v>
      </c>
      <c r="B21" s="2">
        <v>2.5522452513460681</v>
      </c>
      <c r="C21" s="2">
        <v>2.5522452513460681</v>
      </c>
      <c r="D21" s="2">
        <v>2.5522452513460681</v>
      </c>
    </row>
    <row r="22" spans="1:4" x14ac:dyDescent="0.3">
      <c r="A22" t="s">
        <v>27</v>
      </c>
      <c r="B22" s="2">
        <v>28.277717273436547</v>
      </c>
      <c r="C22" s="2">
        <v>28.277717273436547</v>
      </c>
      <c r="D22" s="2">
        <v>28.277717273436547</v>
      </c>
    </row>
    <row r="23" spans="1:4" x14ac:dyDescent="0.3">
      <c r="A23" t="s">
        <v>28</v>
      </c>
      <c r="B23" s="2">
        <v>176.9170003773979</v>
      </c>
      <c r="C23" s="2">
        <v>176.9170003773979</v>
      </c>
      <c r="D23" s="2">
        <v>176.9170003773979</v>
      </c>
    </row>
    <row r="24" spans="1:4" x14ac:dyDescent="0.3">
      <c r="A24" t="s">
        <v>29</v>
      </c>
      <c r="B24" s="2">
        <v>3.8507633144219056E-5</v>
      </c>
      <c r="C24" s="2">
        <v>3.8507633144219056E-5</v>
      </c>
      <c r="D24" s="2">
        <v>3.8507633144219056E-5</v>
      </c>
    </row>
    <row r="25" spans="1:4" x14ac:dyDescent="0.3">
      <c r="A25" t="s">
        <v>30</v>
      </c>
      <c r="B25" s="2">
        <v>4220.1598125338478</v>
      </c>
      <c r="C25" s="2">
        <v>4220.1598125338478</v>
      </c>
      <c r="D25" s="2">
        <v>4220.1598125338478</v>
      </c>
    </row>
    <row r="26" spans="1:4" x14ac:dyDescent="0.3">
      <c r="A26" t="s">
        <v>31</v>
      </c>
      <c r="B26" s="2">
        <v>4.7488911149057734E-4</v>
      </c>
      <c r="C26" s="2">
        <v>4.7488911149057734E-4</v>
      </c>
      <c r="D26" s="2">
        <v>4.7488911149057734E-4</v>
      </c>
    </row>
    <row r="27" spans="1:4" x14ac:dyDescent="0.3">
      <c r="B27" s="2"/>
      <c r="C27" s="2"/>
      <c r="D27" s="2"/>
    </row>
    <row r="28" spans="1:4" x14ac:dyDescent="0.3">
      <c r="B28" s="2"/>
      <c r="C28" s="2"/>
      <c r="D28" s="2"/>
    </row>
    <row r="29" spans="1:4" x14ac:dyDescent="0.3">
      <c r="B29" s="2"/>
      <c r="C29" s="2"/>
      <c r="D29" s="2"/>
    </row>
    <row r="30" spans="1:4" x14ac:dyDescent="0.3">
      <c r="B30" s="2"/>
      <c r="C30" s="2"/>
      <c r="D30" s="2"/>
    </row>
    <row r="31" spans="1:4" x14ac:dyDescent="0.3">
      <c r="B31" s="2"/>
      <c r="C31" s="2"/>
      <c r="D31" s="2"/>
    </row>
    <row r="32" spans="1:4" x14ac:dyDescent="0.3">
      <c r="B32" s="2"/>
      <c r="C32" s="2"/>
      <c r="D32" s="2"/>
    </row>
    <row r="33" spans="2:4" x14ac:dyDescent="0.3">
      <c r="B33" s="2"/>
      <c r="C33" s="2"/>
      <c r="D33" s="2"/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zoomScale="85" zoomScaleNormal="85" workbookViewId="0">
      <selection activeCell="H24" sqref="H24"/>
    </sheetView>
  </sheetViews>
  <sheetFormatPr baseColWidth="10" defaultColWidth="11.44140625" defaultRowHeight="14.4" x14ac:dyDescent="0.3"/>
  <cols>
    <col min="1" max="1" width="45.44140625" customWidth="1"/>
    <col min="2" max="2" width="24.5546875" bestFit="1" customWidth="1"/>
    <col min="5" max="5" width="29.21875" bestFit="1" customWidth="1"/>
  </cols>
  <sheetData>
    <row r="1" spans="1:7" x14ac:dyDescent="0.3">
      <c r="B1" t="s">
        <v>4</v>
      </c>
      <c r="C1" t="s">
        <v>5</v>
      </c>
      <c r="E1" t="s">
        <v>6</v>
      </c>
    </row>
    <row r="2" spans="1:7" x14ac:dyDescent="0.3">
      <c r="A2" t="s">
        <v>7</v>
      </c>
      <c r="B2" s="2">
        <f>1/16</f>
        <v>6.25E-2</v>
      </c>
      <c r="C2" s="2">
        <v>0.87</v>
      </c>
      <c r="D2" s="2">
        <f>B2*C2</f>
        <v>5.4375E-2</v>
      </c>
      <c r="E2" s="2">
        <f t="shared" ref="E2:E26" si="0">D2/$D$27</f>
        <v>6.9488817891373816E-2</v>
      </c>
    </row>
    <row r="3" spans="1:7" x14ac:dyDescent="0.3">
      <c r="A3" t="s">
        <v>8</v>
      </c>
      <c r="B3" s="2">
        <f t="shared" ref="B3:B26" si="1">1/16</f>
        <v>6.25E-2</v>
      </c>
      <c r="C3" s="2">
        <v>0.67</v>
      </c>
      <c r="D3" s="2">
        <f t="shared" ref="D3:D17" si="2">B3*C3</f>
        <v>4.1875000000000002E-2</v>
      </c>
      <c r="E3" s="2">
        <f t="shared" si="0"/>
        <v>5.3514376996805127E-2</v>
      </c>
    </row>
    <row r="4" spans="1:7" x14ac:dyDescent="0.3">
      <c r="A4" t="s">
        <v>9</v>
      </c>
      <c r="B4" s="2">
        <f t="shared" si="1"/>
        <v>6.25E-2</v>
      </c>
      <c r="C4" s="2">
        <v>0.17</v>
      </c>
      <c r="D4" s="2">
        <f t="shared" si="2"/>
        <v>1.0625000000000001E-2</v>
      </c>
      <c r="E4" s="2">
        <f t="shared" si="0"/>
        <v>1.3578274760383389E-2</v>
      </c>
      <c r="G4" s="2" t="s">
        <v>32</v>
      </c>
    </row>
    <row r="5" spans="1:7" x14ac:dyDescent="0.3">
      <c r="A5" t="s">
        <v>10</v>
      </c>
      <c r="B5" s="2">
        <f t="shared" si="1"/>
        <v>6.25E-2</v>
      </c>
      <c r="C5" s="2">
        <v>0.47</v>
      </c>
      <c r="D5" s="2">
        <f t="shared" si="2"/>
        <v>2.9374999999999998E-2</v>
      </c>
      <c r="E5" s="2">
        <f t="shared" si="0"/>
        <v>3.7539936102236424E-2</v>
      </c>
    </row>
    <row r="6" spans="1:7" x14ac:dyDescent="0.3">
      <c r="A6" t="s">
        <v>11</v>
      </c>
      <c r="B6" s="2">
        <f t="shared" si="1"/>
        <v>6.25E-2</v>
      </c>
      <c r="C6" s="2">
        <v>0.53</v>
      </c>
      <c r="D6" s="2">
        <f t="shared" si="2"/>
        <v>3.3125000000000002E-2</v>
      </c>
      <c r="E6" s="2">
        <f t="shared" si="0"/>
        <v>4.2332268370607037E-2</v>
      </c>
    </row>
    <row r="7" spans="1:7" x14ac:dyDescent="0.3">
      <c r="A7" t="s">
        <v>12</v>
      </c>
      <c r="B7" s="2">
        <f t="shared" si="1"/>
        <v>6.25E-2</v>
      </c>
      <c r="C7" s="2">
        <v>0.67</v>
      </c>
      <c r="D7" s="2">
        <f t="shared" si="2"/>
        <v>4.1875000000000002E-2</v>
      </c>
      <c r="E7" s="2">
        <f t="shared" si="0"/>
        <v>5.3514376996805127E-2</v>
      </c>
    </row>
    <row r="8" spans="1:7" x14ac:dyDescent="0.3">
      <c r="A8" t="s">
        <v>13</v>
      </c>
      <c r="B8" s="2">
        <f t="shared" si="1"/>
        <v>6.25E-2</v>
      </c>
      <c r="C8" s="2">
        <v>0.17</v>
      </c>
      <c r="D8" s="2">
        <f t="shared" si="2"/>
        <v>1.0625000000000001E-2</v>
      </c>
      <c r="E8" s="2">
        <f t="shared" si="0"/>
        <v>1.3578274760383389E-2</v>
      </c>
    </row>
    <row r="9" spans="1:7" x14ac:dyDescent="0.3">
      <c r="A9" t="s">
        <v>14</v>
      </c>
      <c r="B9" s="2">
        <f t="shared" si="1"/>
        <v>6.25E-2</v>
      </c>
      <c r="C9" s="2">
        <v>0.47</v>
      </c>
      <c r="D9" s="2">
        <f t="shared" si="2"/>
        <v>2.9374999999999998E-2</v>
      </c>
      <c r="E9" s="2">
        <f t="shared" si="0"/>
        <v>3.7539936102236424E-2</v>
      </c>
    </row>
    <row r="10" spans="1:7" x14ac:dyDescent="0.3">
      <c r="A10" t="s">
        <v>15</v>
      </c>
      <c r="B10" s="2">
        <f t="shared" si="1"/>
        <v>6.25E-2</v>
      </c>
      <c r="C10" s="2">
        <v>0.17</v>
      </c>
      <c r="D10" s="2">
        <f t="shared" si="2"/>
        <v>1.0625000000000001E-2</v>
      </c>
      <c r="E10" s="2">
        <f t="shared" si="0"/>
        <v>1.3578274760383389E-2</v>
      </c>
    </row>
    <row r="11" spans="1:7" x14ac:dyDescent="0.3">
      <c r="A11" t="s">
        <v>16</v>
      </c>
      <c r="B11" s="2">
        <f t="shared" si="1"/>
        <v>6.25E-2</v>
      </c>
      <c r="C11" s="2">
        <v>0.6</v>
      </c>
      <c r="D11" s="2">
        <f t="shared" si="2"/>
        <v>3.7499999999999999E-2</v>
      </c>
      <c r="E11" s="2">
        <f t="shared" si="0"/>
        <v>4.7923322683706075E-2</v>
      </c>
    </row>
    <row r="12" spans="1:7" x14ac:dyDescent="0.3">
      <c r="A12" t="s">
        <v>17</v>
      </c>
      <c r="B12" s="2">
        <f t="shared" si="1"/>
        <v>6.25E-2</v>
      </c>
      <c r="C12" s="2">
        <v>0.53</v>
      </c>
      <c r="D12" s="2">
        <f t="shared" si="2"/>
        <v>3.3125000000000002E-2</v>
      </c>
      <c r="E12" s="2">
        <f t="shared" si="0"/>
        <v>4.2332268370607037E-2</v>
      </c>
    </row>
    <row r="13" spans="1:7" x14ac:dyDescent="0.3">
      <c r="A13" t="s">
        <v>18</v>
      </c>
      <c r="B13" s="2">
        <f t="shared" si="1"/>
        <v>6.25E-2</v>
      </c>
      <c r="C13" s="2">
        <v>0.87</v>
      </c>
      <c r="D13" s="2">
        <f t="shared" si="2"/>
        <v>5.4375E-2</v>
      </c>
      <c r="E13" s="2">
        <f t="shared" si="0"/>
        <v>6.9488817891373816E-2</v>
      </c>
    </row>
    <row r="14" spans="1:7" x14ac:dyDescent="0.3">
      <c r="A14" t="s">
        <v>19</v>
      </c>
      <c r="B14" s="2">
        <f t="shared" si="1"/>
        <v>6.25E-2</v>
      </c>
      <c r="C14" s="2">
        <v>0.47</v>
      </c>
      <c r="D14" s="2">
        <f t="shared" si="2"/>
        <v>2.9374999999999998E-2</v>
      </c>
      <c r="E14" s="2">
        <f t="shared" si="0"/>
        <v>3.7539936102236424E-2</v>
      </c>
    </row>
    <row r="15" spans="1:7" x14ac:dyDescent="0.3">
      <c r="A15" t="s">
        <v>20</v>
      </c>
      <c r="B15" s="2">
        <f t="shared" si="1"/>
        <v>6.25E-2</v>
      </c>
      <c r="C15" s="2">
        <v>0.6</v>
      </c>
      <c r="D15" s="2">
        <f t="shared" si="2"/>
        <v>3.7499999999999999E-2</v>
      </c>
      <c r="E15" s="2">
        <f t="shared" si="0"/>
        <v>4.7923322683706075E-2</v>
      </c>
    </row>
    <row r="16" spans="1:7" x14ac:dyDescent="0.3">
      <c r="A16" t="s">
        <v>21</v>
      </c>
      <c r="B16" s="2">
        <f t="shared" si="1"/>
        <v>6.25E-2</v>
      </c>
      <c r="C16" s="2">
        <v>0.47</v>
      </c>
      <c r="D16" s="2">
        <f t="shared" si="2"/>
        <v>2.9374999999999998E-2</v>
      </c>
      <c r="E16" s="2">
        <f t="shared" si="0"/>
        <v>3.7539936102236424E-2</v>
      </c>
    </row>
    <row r="17" spans="1:5" x14ac:dyDescent="0.3">
      <c r="A17" t="s">
        <v>22</v>
      </c>
      <c r="B17" s="2">
        <f t="shared" si="1"/>
        <v>6.25E-2</v>
      </c>
      <c r="C17" s="2">
        <v>0.6</v>
      </c>
      <c r="D17" s="2">
        <f t="shared" si="2"/>
        <v>3.7499999999999999E-2</v>
      </c>
      <c r="E17" s="2">
        <f t="shared" si="0"/>
        <v>4.7923322683706075E-2</v>
      </c>
    </row>
    <row r="18" spans="1:5" x14ac:dyDescent="0.3">
      <c r="A18" t="s">
        <v>23</v>
      </c>
      <c r="B18" s="2">
        <f>1/16</f>
        <v>6.25E-2</v>
      </c>
      <c r="C18" s="2">
        <v>0.87</v>
      </c>
      <c r="D18" s="2">
        <f>B18*C18</f>
        <v>5.4375E-2</v>
      </c>
      <c r="E18" s="2">
        <f t="shared" si="0"/>
        <v>6.9488817891373816E-2</v>
      </c>
    </row>
    <row r="19" spans="1:5" x14ac:dyDescent="0.3">
      <c r="A19" t="s">
        <v>24</v>
      </c>
      <c r="B19" s="2">
        <f t="shared" si="1"/>
        <v>6.25E-2</v>
      </c>
      <c r="C19" s="2">
        <v>0.67</v>
      </c>
      <c r="D19" s="2">
        <f t="shared" ref="D19:D26" si="3">B19*C19</f>
        <v>4.1875000000000002E-2</v>
      </c>
      <c r="E19" s="2">
        <f t="shared" si="0"/>
        <v>5.3514376996805127E-2</v>
      </c>
    </row>
    <row r="20" spans="1:5" x14ac:dyDescent="0.3">
      <c r="A20" t="s">
        <v>25</v>
      </c>
      <c r="B20" s="2">
        <f t="shared" si="1"/>
        <v>6.25E-2</v>
      </c>
      <c r="C20" s="2">
        <v>0.17</v>
      </c>
      <c r="D20" s="2">
        <f t="shared" si="3"/>
        <v>1.0625000000000001E-2</v>
      </c>
      <c r="E20" s="2">
        <f t="shared" si="0"/>
        <v>1.3578274760383389E-2</v>
      </c>
    </row>
    <row r="21" spans="1:5" x14ac:dyDescent="0.3">
      <c r="A21" t="s">
        <v>26</v>
      </c>
      <c r="B21" s="2">
        <f t="shared" si="1"/>
        <v>6.25E-2</v>
      </c>
      <c r="C21" s="2">
        <v>0.47</v>
      </c>
      <c r="D21" s="2">
        <f t="shared" si="3"/>
        <v>2.9374999999999998E-2</v>
      </c>
      <c r="E21" s="2">
        <f t="shared" si="0"/>
        <v>3.7539936102236424E-2</v>
      </c>
    </row>
    <row r="22" spans="1:5" x14ac:dyDescent="0.3">
      <c r="A22" t="s">
        <v>27</v>
      </c>
      <c r="B22" s="2">
        <f t="shared" si="1"/>
        <v>6.25E-2</v>
      </c>
      <c r="C22" s="2">
        <v>0.53</v>
      </c>
      <c r="D22" s="2">
        <f t="shared" si="3"/>
        <v>3.3125000000000002E-2</v>
      </c>
      <c r="E22" s="2">
        <f t="shared" si="0"/>
        <v>4.2332268370607037E-2</v>
      </c>
    </row>
    <row r="23" spans="1:5" x14ac:dyDescent="0.3">
      <c r="A23" t="s">
        <v>28</v>
      </c>
      <c r="B23" s="2">
        <f t="shared" si="1"/>
        <v>6.25E-2</v>
      </c>
      <c r="C23" s="2">
        <v>0.67</v>
      </c>
      <c r="D23" s="2">
        <f t="shared" si="3"/>
        <v>4.1875000000000002E-2</v>
      </c>
      <c r="E23" s="2">
        <f t="shared" si="0"/>
        <v>5.3514376996805127E-2</v>
      </c>
    </row>
    <row r="24" spans="1:5" x14ac:dyDescent="0.3">
      <c r="A24" t="s">
        <v>29</v>
      </c>
      <c r="B24" s="2">
        <f t="shared" si="1"/>
        <v>6.25E-2</v>
      </c>
      <c r="C24" s="2">
        <v>0.17</v>
      </c>
      <c r="D24" s="2">
        <f t="shared" si="3"/>
        <v>1.0625000000000001E-2</v>
      </c>
      <c r="E24" s="2">
        <f t="shared" si="0"/>
        <v>1.3578274760383389E-2</v>
      </c>
    </row>
    <row r="25" spans="1:5" x14ac:dyDescent="0.3">
      <c r="A25" t="s">
        <v>30</v>
      </c>
      <c r="B25" s="2">
        <f t="shared" si="1"/>
        <v>6.25E-2</v>
      </c>
      <c r="C25" s="2">
        <v>0.47</v>
      </c>
      <c r="D25" s="2">
        <f t="shared" si="3"/>
        <v>2.9374999999999998E-2</v>
      </c>
      <c r="E25" s="2">
        <f t="shared" si="0"/>
        <v>3.7539936102236424E-2</v>
      </c>
    </row>
    <row r="26" spans="1:5" x14ac:dyDescent="0.3">
      <c r="A26" t="s">
        <v>31</v>
      </c>
      <c r="B26" s="2">
        <f t="shared" si="1"/>
        <v>6.25E-2</v>
      </c>
      <c r="C26" s="2">
        <v>0.17</v>
      </c>
      <c r="D26" s="2">
        <f t="shared" si="3"/>
        <v>1.0625000000000001E-2</v>
      </c>
      <c r="E26" s="2">
        <f t="shared" si="0"/>
        <v>1.3578274760383389E-2</v>
      </c>
    </row>
    <row r="27" spans="1:5" x14ac:dyDescent="0.3">
      <c r="D27" s="2">
        <f>SUM(D2:D26)</f>
        <v>0.78249999999999986</v>
      </c>
      <c r="E27" s="2">
        <f>SUM(E2:E26)</f>
        <v>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7EAF58C9867844D9756BB5D34FDD3E4" ma:contentTypeVersion="6" ma:contentTypeDescription="Ein neues Dokument erstellen." ma:contentTypeScope="" ma:versionID="aa5f93f6104443c22a1ff50b45cefe5a">
  <xsd:schema xmlns:xsd="http://www.w3.org/2001/XMLSchema" xmlns:xs="http://www.w3.org/2001/XMLSchema" xmlns:p="http://schemas.microsoft.com/office/2006/metadata/properties" xmlns:ns2="6bb99173-af22-4cb4-b5fd-ad152aa5b4dc" targetNamespace="http://schemas.microsoft.com/office/2006/metadata/properties" ma:root="true" ma:fieldsID="850f7173faa2e781e35635ec3bba6722" ns2:_="">
    <xsd:import namespace="6bb99173-af22-4cb4-b5fd-ad152aa5b4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b99173-af22-4cb4-b5fd-ad152aa5b4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B366DE-FE66-4875-9452-59B9A39715CA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6bb99173-af22-4cb4-b5fd-ad152aa5b4d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82CF93E-AE9E-40F0-A3F0-4C37B6C06D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EE121A-86B5-42BB-8B03-E867A0D40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b99173-af22-4cb4-b5fd-ad152aa5b4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Weighting</vt:lpstr>
      <vt:lpstr>Normalisation</vt:lpstr>
      <vt:lpstr>Normalisation_p_person</vt:lpstr>
      <vt:lpstr>Equilibrium</vt:lpstr>
    </vt:vector>
  </TitlesOfParts>
  <Company>HS Pforzheim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Lazar, Lukas</dc:creator>
  <dc:description/>
  <cp:lastModifiedBy>Marco Schmid</cp:lastModifiedBy>
  <cp:revision>7</cp:revision>
  <dcterms:created xsi:type="dcterms:W3CDTF">2019-02-18T15:26:49Z</dcterms:created>
  <dcterms:modified xsi:type="dcterms:W3CDTF">2024-01-12T16:46:32Z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HS Pforzheim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0x01010097EAF58C9867844D9756BB5D34FDD3E4</vt:lpwstr>
  </property>
</Properties>
</file>